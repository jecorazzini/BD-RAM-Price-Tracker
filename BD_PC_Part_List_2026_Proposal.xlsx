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2026 PROPOSAL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44444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9"/>
    </font>
    <font>
      <name val="Arial"/>
      <charset val="1"/>
      <family val="0"/>
      <sz val="9"/>
    </font>
  </fonts>
  <fills count="8">
    <fill>
      <patternFill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D6E4F0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164" fontId="1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0" fillId="0" borderId="4" pivotButton="0" quotePrefix="0" xfId="0"/>
    <xf numFmtId="164" fontId="1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D62Y6W44" TargetMode="External" Id="rId1"/><Relationship Type="http://schemas.openxmlformats.org/officeDocument/2006/relationships/hyperlink" Target="https://www.amazon.com/dp/B0DKFMSMYK" TargetMode="External" Id="rId2"/><Relationship Type="http://schemas.openxmlformats.org/officeDocument/2006/relationships/hyperlink" Target="https://www.amazon.com/dp/B0CMK1W2YX" TargetMode="External" Id="rId3"/><Relationship Type="http://schemas.openxmlformats.org/officeDocument/2006/relationships/hyperlink" Target="https://www.amazon.com/dp/B07Y87YHRH" TargetMode="External" Id="rId4"/><Relationship Type="http://schemas.openxmlformats.org/officeDocument/2006/relationships/hyperlink" Target="https://www.amazon.com/dp/B0CYM3WCXM" TargetMode="External" Id="rId5"/><Relationship Type="http://schemas.openxmlformats.org/officeDocument/2006/relationships/hyperlink" Target="https://www.amazon.com/dp/B0DJ1M18CY" TargetMode="External" Id="rId6"/><Relationship Type="http://schemas.openxmlformats.org/officeDocument/2006/relationships/hyperlink" Target="https://www.amazon.com/dp/B0BHJF2VRN" TargetMode="External" Id="rId7"/><Relationship Type="http://schemas.openxmlformats.org/officeDocument/2006/relationships/hyperlink" Target="https://www.amazon.com/dp/B0BHJJ9Y77" TargetMode="External" Id="rId8"/><Relationship Type="http://schemas.openxmlformats.org/officeDocument/2006/relationships/hyperlink" Target="https://www.amazon.com/s?k=RTX+5060+Ti+8GB" TargetMode="External" Id="rId9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5" min="1" max="1"/>
    <col width="26" customWidth="1" style="35" min="2" max="2"/>
    <col width="32" customWidth="1" style="35" min="3" max="3"/>
    <col width="8" customWidth="1" style="35" min="4" max="4"/>
    <col width="11" customWidth="1" style="35" min="5" max="5"/>
    <col width="5" customWidth="1" style="35" min="6" max="6"/>
    <col width="11" customWidth="1" style="35" min="7" max="7"/>
    <col width="14" customWidth="1" style="35" min="8" max="8"/>
    <col width="52" customWidth="1" style="35" min="9" max="9"/>
  </cols>
  <sheetData>
    <row r="1" ht="30" customHeight="1" s="36">
      <c r="A1" s="37" t="inlineStr">
        <is>
          <t>BD Custom PC Builds — 2026 Proposal</t>
        </is>
      </c>
    </row>
    <row r="2" ht="18" customHeight="1" s="36">
      <c r="A2" s="38" t="inlineStr">
        <is>
          <t>Prepared by Jack Corazzini  |  Date checked: May 28 2026  |  Quantity: 3 PCs</t>
        </is>
      </c>
    </row>
    <row r="3" ht="6" customHeight="1" s="36"/>
    <row r="4" ht="31.5" customHeight="1" s="36">
      <c r="A4" s="39" t="inlineStr">
        <is>
          <t>Component</t>
        </is>
      </c>
      <c r="B4" s="39" t="inlineStr">
        <is>
          <t>2025 Part</t>
        </is>
      </c>
      <c r="C4" s="39" t="inlineStr">
        <is>
          <t>2026 Proposed Part</t>
        </is>
      </c>
      <c r="D4" s="39" t="inlineStr">
        <is>
          <t>Purchase Link</t>
        </is>
      </c>
      <c r="E4" s="39" t="inlineStr">
        <is>
          <t>Unit Price</t>
        </is>
      </c>
      <c r="F4" s="39" t="inlineStr">
        <is>
          <t>Qty</t>
        </is>
      </c>
      <c r="G4" s="39" t="inlineStr">
        <is>
          <t>Line Total</t>
        </is>
      </c>
      <c r="H4" s="39" t="inlineStr">
        <is>
          <t>Same as 2025?</t>
        </is>
      </c>
      <c r="I4" s="39" t="inlineStr">
        <is>
          <t>Change Notes</t>
        </is>
      </c>
    </row>
    <row r="5" ht="51.75" customHeight="1" s="36">
      <c r="A5" s="40" t="inlineStr">
        <is>
          <t>Case</t>
        </is>
      </c>
      <c r="B5" s="41" t="inlineStr">
        <is>
          <t>Cooler Master MasterBox 600</t>
        </is>
      </c>
      <c r="C5" s="41" t="inlineStr">
        <is>
          <t>Cooler Master MasterBox 600 White (MB600-WGNN-S00) — via Best Buy</t>
        </is>
      </c>
      <c r="D5" s="42" t="inlineStr">
        <is>
          <t>https://www.bestbuy.com/product/cooler-master-masterbox-600-atx-white-410mm-gpu-420mm-aio-tempered-glass-triple-140mm-fans-white/J3K4GJPQWV</t>
        </is>
      </c>
      <c r="E5" s="43" t="n">
        <v>59.49</v>
      </c>
      <c r="F5" s="44" t="n">
        <v>3</v>
      </c>
      <c r="G5" s="45">
        <f>E5*F5</f>
        <v/>
      </c>
      <c r="H5" s="44" t="inlineStr">
        <is>
          <t>N — retailer change</t>
        </is>
      </c>
      <c r="I5" s="41" t="inlineStr">
        <is>
          <t>White variant (MB600-WGNN-S00) not available new on Amazon or Newegg (both listings resolve to black SKU MB600-KGNN-S00, currently OOS new). Confirmed in stock on Best Buy, sold/shipped by Newegg Official, $59.49 — only retailer carrying the exact white SKU. Identical dimensions/clearances to black (474x230x481mm, 410mm GPU, 170mm cooler, 420mm AIO) — all parts still fit.</t>
        </is>
      </c>
    </row>
    <row r="6" ht="51.75" customHeight="1" s="36">
      <c r="A6" s="46" t="inlineStr">
        <is>
          <t>CPU</t>
        </is>
      </c>
      <c r="B6" s="47" t="inlineStr">
        <is>
          <t>AMD Ryzen 7 7800X3D</t>
        </is>
      </c>
      <c r="C6" s="47" t="inlineStr">
        <is>
          <t>AMD Ryzen 7 9800X3D</t>
        </is>
      </c>
      <c r="D6" s="48" t="inlineStr">
        <is>
          <t>Link</t>
        </is>
      </c>
      <c r="E6" s="49" t="n">
        <v>420</v>
      </c>
      <c r="F6" s="50" t="n">
        <v>3</v>
      </c>
      <c r="G6" s="51">
        <f>E6*F6</f>
        <v/>
      </c>
      <c r="H6" s="52" t="inlineStr">
        <is>
          <t>N — upgraded</t>
        </is>
      </c>
      <c r="I6" s="47" t="inlineStr">
        <is>
          <t>Upgraded to Zen 5 architecture. 15-24% better than 7800X3D for PBI/Python workloads. Same 96MB 3D V-Cache. $77 cheaper than 2025 CPU.</t>
        </is>
      </c>
    </row>
    <row r="7" ht="51.75" customHeight="1" s="36">
      <c r="A7" s="40" t="inlineStr">
        <is>
          <t>Motherboard</t>
        </is>
      </c>
      <c r="B7" s="41" t="inlineStr">
        <is>
          <t>GIGABYTE B650 AORUS Elite AX V2</t>
        </is>
      </c>
      <c r="C7" s="41" t="inlineStr">
        <is>
          <t>GIGABYTE B650 AORUS Elite AX (non-V2, B0BH7GTY9C)</t>
        </is>
      </c>
      <c r="D7" s="42" t="inlineStr">
        <is>
          <t>Link</t>
        </is>
      </c>
      <c r="E7" s="43" t="n">
        <v>150</v>
      </c>
      <c r="F7" s="44" t="n">
        <v>3</v>
      </c>
      <c r="G7" s="45">
        <f>E7*F7</f>
        <v/>
      </c>
      <c r="H7" s="44" t="inlineStr">
        <is>
          <t>N — board swap</t>
        </is>
      </c>
      <c r="I7" s="41" t="inlineStr">
        <is>
          <t>V2 only available used on Amazon/Newegg; switched to non-V2 AX, confirmed new/in-stock. Supports Ryzen 9000 series, BIOS Q-Flash Plus. VRM is actually stronger (14x70A=980A) vs V2 (12x60A=720A) — both far exceed 9800X3D draw, no performance loss. APPROVED by Nate/Alex June 30, 2026 — final.</t>
        </is>
      </c>
    </row>
    <row r="8" ht="51.75" customHeight="1" s="36">
      <c r="A8" s="40" t="inlineStr">
        <is>
          <t>CPU Cooler</t>
        </is>
      </c>
      <c r="B8" s="41" t="inlineStr">
        <is>
          <t>Noctua NH-D15</t>
        </is>
      </c>
      <c r="C8" s="41" t="inlineStr">
        <is>
          <t>Noctua NH-D15</t>
        </is>
      </c>
      <c r="D8" s="42" t="inlineStr">
        <is>
          <t>Link</t>
        </is>
      </c>
      <c r="E8" s="43" t="n">
        <v>130</v>
      </c>
      <c r="F8" s="44" t="n">
        <v>3</v>
      </c>
      <c r="G8" s="45">
        <f>E8*F8</f>
        <v/>
      </c>
      <c r="H8" s="44" t="inlineStr">
        <is>
          <t>Y</t>
        </is>
      </c>
      <c r="I8" s="41" t="inlineStr">
        <is>
          <t>No change. Confirmed fits MasterBox 600 (165mm vs 170mm max). Price up slightly to ~$130.</t>
        </is>
      </c>
    </row>
    <row r="9" ht="51.75" customHeight="1" s="36">
      <c r="A9" s="53" t="inlineStr">
        <is>
          <t>RAM</t>
        </is>
      </c>
      <c r="B9" s="54" t="inlineStr">
        <is>
          <t>Corsair Vengeance 64GB DDR5-5200 CL40</t>
        </is>
      </c>
      <c r="C9" s="54" t="inlineStr">
        <is>
          <t>Kingston Fury Beast RGB 64GB DDR5-6000 CL30 (KF560C30BBEAK2-64)</t>
        </is>
      </c>
      <c r="D9" s="55" t="inlineStr">
        <is>
          <t>Link</t>
        </is>
      </c>
      <c r="E9" s="56" t="n">
        <v>1097.7</v>
      </c>
      <c r="F9" s="57" t="n">
        <v>3</v>
      </c>
      <c r="G9" s="58">
        <f>E9*F9</f>
        <v/>
      </c>
      <c r="H9" s="52" t="inlineStr">
        <is>
          <t>N — brand change</t>
        </is>
      </c>
      <c r="I9" s="54" t="inlineStr">
        <is>
          <t>Kingston Fury Beast RGB 64GB DDR5-6000 CL30 (KF560C30BBEAK2-64). Price spiked to $1,097.70 as of order day (June 30, 2026) due to ongoing AI-driven DRAM shortage — up from $362 three checks ago. Proceeding at this price per Alex; re-verify at actual checkout.</t>
        </is>
      </c>
    </row>
    <row r="10" ht="51.75" customHeight="1" s="36">
      <c r="A10" s="40" t="inlineStr">
        <is>
          <t>PSU</t>
        </is>
      </c>
      <c r="B10" s="41" t="inlineStr">
        <is>
          <t>Corsair RM750x</t>
        </is>
      </c>
      <c r="C10" s="41" t="inlineStr">
        <is>
          <t>Corsair RM750x (ATX 3.1, 80+ Gold)</t>
        </is>
      </c>
      <c r="D10" s="42" t="inlineStr">
        <is>
          <t>Link</t>
        </is>
      </c>
      <c r="E10" s="43" t="n">
        <v>115</v>
      </c>
      <c r="F10" s="44" t="n">
        <v>3</v>
      </c>
      <c r="G10" s="45">
        <f>E10*F10</f>
        <v/>
      </c>
      <c r="H10" s="44" t="inlineStr">
        <is>
          <t>Y</t>
        </is>
      </c>
      <c r="I10" s="41" t="inlineStr">
        <is>
          <t>No change. Comfortably sized for 5060 Ti (180W TDP). Price verified at $115.</t>
        </is>
      </c>
    </row>
    <row r="11" ht="51.75" customHeight="1" s="36">
      <c r="A11" s="46" t="inlineStr">
        <is>
          <t>SSD — OS</t>
        </is>
      </c>
      <c r="B11" s="47" t="inlineStr">
        <is>
          <t>Samsung 1TB NVMe</t>
        </is>
      </c>
      <c r="C11" s="47" t="inlineStr">
        <is>
          <t>Samsung 990 Pro 1TB NVMe PCIe Gen4</t>
        </is>
      </c>
      <c r="D11" s="48" t="inlineStr">
        <is>
          <t>Link</t>
        </is>
      </c>
      <c r="E11" s="49" t="n">
        <v>250</v>
      </c>
      <c r="F11" s="50" t="n">
        <v>3</v>
      </c>
      <c r="G11" s="51">
        <f>E11*F11</f>
        <v/>
      </c>
      <c r="H11" s="52" t="inlineStr">
        <is>
          <t>N — newer gen</t>
        </is>
      </c>
      <c r="I11" s="47" t="inlineStr">
        <is>
          <t>990 Pro is current-gen equivalent. Up from $80 due to NAND flash shortage. Price near recent low at time of research.</t>
        </is>
      </c>
    </row>
    <row r="12" ht="51.75" customHeight="1" s="36">
      <c r="A12" s="46" t="inlineStr">
        <is>
          <t>SSD — Data</t>
        </is>
      </c>
      <c r="B12" s="47" t="inlineStr">
        <is>
          <t>Samsung 2TB NVMe</t>
        </is>
      </c>
      <c r="C12" s="47" t="inlineStr">
        <is>
          <t>Samsung 990 Pro 2TB NVMe PCIe Gen4</t>
        </is>
      </c>
      <c r="D12" s="48" t="inlineStr">
        <is>
          <t>Link</t>
        </is>
      </c>
      <c r="E12" s="49" t="n">
        <v>389</v>
      </c>
      <c r="F12" s="50" t="n">
        <v>3</v>
      </c>
      <c r="G12" s="51">
        <f>E12*F12</f>
        <v/>
      </c>
      <c r="H12" s="52" t="inlineStr">
        <is>
          <t>N — newer gen</t>
        </is>
      </c>
      <c r="I12" s="47" t="inlineStr">
        <is>
          <t>990 Pro 2TB at near record low ($389). Up from $125. Same Samsung brand and role. At this price undercuts most 1TB alternatives per TB.</t>
        </is>
      </c>
    </row>
    <row r="13" ht="51.75" customHeight="1" s="36">
      <c r="A13" s="53" t="inlineStr">
        <is>
          <t>GPU</t>
        </is>
      </c>
      <c r="B13" s="54" t="inlineStr">
        <is>
          <t>NVIDIA RTX 3060 12GB</t>
        </is>
      </c>
      <c r="C13" s="54" t="inlineStr">
        <is>
          <t>NVIDIA RTX 5060 Ti 8GB (Blackwell)</t>
        </is>
      </c>
      <c r="D13" s="55" t="inlineStr">
        <is>
          <t>Link</t>
        </is>
      </c>
      <c r="E13" s="56" t="n">
        <v>379</v>
      </c>
      <c r="F13" s="57" t="n">
        <v>3</v>
      </c>
      <c r="G13" s="58">
        <f>E13*F13</f>
        <v/>
      </c>
      <c r="H13" s="59" t="inlineStr">
        <is>
          <t>N — upgraded</t>
        </is>
      </c>
      <c r="I13" s="54" t="inlineStr">
        <is>
          <t>Current-gen Blackwell equivalent. 8GB CONFIRMED FINAL by Alex June 30, 2026 — no 16GB upgrade needed.</t>
        </is>
      </c>
    </row>
    <row r="14" ht="27.75" customHeight="1" s="36">
      <c r="A14" s="35" t="inlineStr">
        <is>
          <t>OS</t>
        </is>
      </c>
      <c r="B14" s="35" t="inlineStr">
        <is>
          <t>(not tracked in 2025)</t>
        </is>
      </c>
      <c r="C14" s="35" t="inlineStr">
        <is>
          <t>Windows 11 Pro OEM/System Builder</t>
        </is>
      </c>
      <c r="D14" s="35" t="inlineStr">
        <is>
          <t>Link</t>
        </is>
      </c>
      <c r="E14" s="35" t="n">
        <v>139</v>
      </c>
      <c r="F14" s="35" t="n">
        <v>3</v>
      </c>
      <c r="G14" s="35">
        <f>E14*F14</f>
        <v/>
      </c>
      <c r="H14" s="35" t="inlineStr">
        <is>
          <t>N — new line item</t>
        </is>
      </c>
      <c r="I14" s="35" t="inlineStr">
        <is>
          <t>Not separately tracked in 2025 build cost. OEM/System Builder chosen over Retail ($199) — license ties to machine, fine for non-transferred business desktop. Pro required for Remote Desktop, BitLocker, domain join.</t>
        </is>
      </c>
    </row>
    <row r="15" ht="7.5" customHeight="1" s="36">
      <c r="A15" s="60" t="inlineStr">
        <is>
          <t>TOTALS</t>
        </is>
      </c>
      <c r="B15" s="61" t="n"/>
      <c r="C15" s="62" t="n"/>
      <c r="D15" s="62" t="n"/>
      <c r="E15" s="63">
        <f>SUM(E5:E14)</f>
        <v/>
      </c>
      <c r="F15" s="64" t="n"/>
      <c r="G15" s="63">
        <f>SUM(G5:G14)</f>
        <v/>
      </c>
      <c r="H15" s="65" t="inlineStr">
        <is>
          <t>vs 2025: $1,685/PC – $5,055 total</t>
        </is>
      </c>
      <c r="I15" s="62" t="n"/>
    </row>
    <row r="16" ht="15.75" customHeight="1" s="36"/>
    <row r="17" ht="15.75" customHeight="1" s="36">
      <c r="A17" s="66" t="inlineStr">
        <is>
          <t>Colour key:</t>
        </is>
      </c>
    </row>
    <row r="18" ht="15.75" customHeight="1" s="36">
      <c r="A18" s="67" t="inlineStr">
        <is>
          <t xml:space="preserve">  </t>
        </is>
      </c>
      <c r="B18" s="68" t="inlineStr">
        <is>
          <t>Same as 2025 build</t>
        </is>
      </c>
    </row>
    <row r="19" ht="15.75" customHeight="1" s="36">
      <c r="A19" s="69" t="inlineStr">
        <is>
          <t xml:space="preserve">  </t>
        </is>
      </c>
      <c r="B19" s="68" t="inlineStr">
        <is>
          <t>Upgraded / newer generation</t>
        </is>
      </c>
    </row>
    <row r="20">
      <c r="A20" s="70" t="inlineStr">
        <is>
          <t xml:space="preserve">  </t>
        </is>
      </c>
      <c r="B20" s="68" t="inlineStr">
        <is>
          <t>Changed due to market conditions or open decision</t>
        </is>
      </c>
    </row>
  </sheetData>
  <mergeCells count="6">
    <mergeCell ref="B18:I18"/>
    <mergeCell ref="A2:I2"/>
    <mergeCell ref="A1:I1"/>
    <mergeCell ref="B19:I19"/>
    <mergeCell ref="A16:I16"/>
    <mergeCell ref="B17:I17"/>
  </mergeCells>
  <hyperlinks>
    <hyperlink xmlns:r="http://schemas.openxmlformats.org/officeDocument/2006/relationships" ref="D5" display="Link" r:id="rId1"/>
    <hyperlink xmlns:r="http://schemas.openxmlformats.org/officeDocument/2006/relationships" ref="D6" display="Link" r:id="rId2"/>
    <hyperlink xmlns:r="http://schemas.openxmlformats.org/officeDocument/2006/relationships" ref="D7" display="Link" r:id="rId3"/>
    <hyperlink xmlns:r="http://schemas.openxmlformats.org/officeDocument/2006/relationships" ref="D8" display="Link" r:id="rId4"/>
    <hyperlink xmlns:r="http://schemas.openxmlformats.org/officeDocument/2006/relationships" ref="D9" display="Link" r:id="rId5"/>
    <hyperlink xmlns:r="http://schemas.openxmlformats.org/officeDocument/2006/relationships" ref="D10" display="Link" r:id="rId6"/>
    <hyperlink xmlns:r="http://schemas.openxmlformats.org/officeDocument/2006/relationships" ref="D11" display="Link" r:id="rId7"/>
    <hyperlink xmlns:r="http://schemas.openxmlformats.org/officeDocument/2006/relationships" ref="D12" display="Link" r:id="rId8"/>
    <hyperlink xmlns:r="http://schemas.openxmlformats.org/officeDocument/2006/relationships" ref="D13" display="Link" r:id="rId9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2026-05-28T14:10:30Z</dcterms:created>
  <dcterms:modified xmlns:dcterms="http://purl.org/dc/terms/" xmlns:xsi="http://www.w3.org/2001/XMLSchema-instance" xsi:type="dcterms:W3CDTF">2026-06-30T14:43:11Z</dcterms:modified>
  <cp:revision>0</cp:revision>
</cp:coreProperties>
</file>